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rastructure Costs" sheetId="1" state="visible" r:id="rId3"/>
    <sheet name="Recommended Pricing" sheetId="2" state="visible" r:id="rId4"/>
    <sheet name="Pricing 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<sst xmlns="http://schemas.openxmlformats.org/spreadsheetml/2006/main" count="143" uniqueCount="133">
  <si>
    <t xml:space="preserve">DASTAAN — Production Infrastructure Costs</t>
  </si>
  <si>
    <t xml:space="preserve">All figures in USD. AED equivalent at 3.67 AED/USD.</t>
  </si>
  <si>
    <t xml:space="preserve">Service</t>
  </si>
  <si>
    <t xml:space="preserve">Plan / Tier</t>
  </si>
  <si>
    <t xml:space="preserve">Free Tier?</t>
  </si>
  <si>
    <t xml:space="preserve">Monthly (USD)</t>
  </si>
  <si>
    <t xml:space="preserve">Annual (USD)</t>
  </si>
  <si>
    <t xml:space="preserve">Notes</t>
  </si>
  <si>
    <t xml:space="preserve">FIXED HOSTING</t>
  </si>
  <si>
    <t xml:space="preserve">Vercel</t>
  </si>
  <si>
    <t xml:space="preserve">Pro (1 seat)</t>
  </si>
  <si>
    <t xml:space="preserve">Hobby (free, no commercial SLA)</t>
  </si>
  <si>
    <t xml:space="preserve">Next.js web app. $20/seat includes $20 usage credit. Hobby plan works but no SLA or team features.</t>
  </si>
  <si>
    <t xml:space="preserve">Render</t>
  </si>
  <si>
    <t xml:space="preserve">Starter (always-on)</t>
  </si>
  <si>
    <t xml:space="preserve">Free (sleeps after 15 min)</t>
  </si>
  <si>
    <t xml:space="preserve">Fastify API. Starter = 512 MB RAM, 0.5 CPU. Always-on required for appointment reminders &amp; notification outbox.</t>
  </si>
  <si>
    <t xml:space="preserve">Supabase</t>
  </si>
  <si>
    <t xml:space="preserve">Pro</t>
  </si>
  <si>
    <t xml:space="preserve">Free (500 MB DB, 1 GB storage)</t>
  </si>
  <si>
    <t xml:space="preserve">PostgreSQL + file storage for videos &amp; photos. Pro includes daily backups, 8 GB storage, 100 GB bandwidth.</t>
  </si>
  <si>
    <t xml:space="preserve">Domain (.com)</t>
  </si>
  <si>
    <t xml:space="preserve">Annual renewal</t>
  </si>
  <si>
    <t xml:space="preserve">—</t>
  </si>
  <si>
    <t xml:space="preserve">~$17/year at Namecheap (renew). First year often cheaper. USD equivalent per month.</t>
  </si>
  <si>
    <t xml:space="preserve">Fixed Hosting Subtotal</t>
  </si>
  <si>
    <t xml:space="preserve">Per month, before usage charges</t>
  </si>
  <si>
    <t xml:space="preserve">USAGE-BASED COSTS (estimates for a single active branch)</t>
  </si>
  <si>
    <t xml:space="preserve">What triggers cost</t>
  </si>
  <si>
    <t xml:space="preserve">Volume / month</t>
  </si>
  <si>
    <t xml:space="preserve">Monthly est. (USD)</t>
  </si>
  <si>
    <t xml:space="preserve">Annual est. (USD)</t>
  </si>
  <si>
    <t xml:space="preserve">Stripe — Online payments</t>
  </si>
  <si>
    <t xml:space="preserve">2.9% + $0.30 per card transaction</t>
  </si>
  <si>
    <t xml:space="preserve">~20 online bookings × AED 150 avg</t>
  </si>
  <si>
    <t xml:space="preserve">UAE: 2.9% + $0.30/txn. On AED 150 (~$41): $1.49/txn × 20 = ~$30. Stripe's UAE rate may differ slightly.</t>
  </si>
  <si>
    <t xml:space="preserve">Twilio — WhatsApp reminders</t>
  </si>
  <si>
    <t xml:space="preserve">$0.005 (Twilio) + ~$0.015 (Meta) per msg</t>
  </si>
  <si>
    <t xml:space="preserve">~400 msgs/month (confirmations + reminders)</t>
  </si>
  <si>
    <t xml:space="preserve">Estimate: 400 msgs × $0.02 avg. Marketing msgs cost more (~$0.05). Utility/reminders ~$0.015–0.02. Free 1,000 msgs/month on Meta's service window.</t>
  </si>
  <si>
    <t xml:space="preserve">Supabase Storage overage</t>
  </si>
  <si>
    <t xml:space="preserve">&gt;8 GB storage (videos)</t>
  </si>
  <si>
    <t xml:space="preserve">~10 training videos × 200 MB</t>
  </si>
  <si>
    <t xml:space="preserve">Pro includes 8 GB. 10 × 200 MB = 2 GB — within free tier. $0.021/GB after that. Likely $0 for a single branch.</t>
  </si>
  <si>
    <t xml:space="preserve">Vercel bandwidth overage</t>
  </si>
  <si>
    <t xml:space="preserve">&gt;1 TB Fast Data Transfer</t>
  </si>
  <si>
    <t xml:space="preserve">Negligible for a barbershop</t>
  </si>
  <si>
    <t xml:space="preserve">A barbershop's traffic will not approach 1 TB. $0 overage expected.</t>
  </si>
  <si>
    <t xml:space="preserve">Usage Subtotal (estimated)</t>
  </si>
  <si>
    <t xml:space="preserve">TOTAL ESTIMATED MONTHLY (USD)</t>
  </si>
  <si>
    <t xml:space="preserve">≈ AED equivalent: multiply USD × 3.67</t>
  </si>
  <si>
    <t xml:space="preserve">TOTAL ESTIMATED MONTHLY (AED)</t>
  </si>
  <si>
    <t xml:space="preserve">Sources: Vercel pricing vercel.com/pricing · Render render.com/pricing · Supabase supabase.com/pricing · Twilio landbot.io/blog/twilio-whatsapp-pricing · Namecheap namesilo.com/blog</t>
  </si>
  <si>
    <t xml:space="preserve">DASTAAN — Recommended Pricing to Charge the Salon</t>
  </si>
  <si>
    <t xml:space="preserve">What to charge DASTAAN LIFE BARBERS L.L.C for the platform. All figures in AED.</t>
  </si>
  <si>
    <t xml:space="preserve">ONE-TIME SETUP &amp; DEVELOPMENT FEE</t>
  </si>
  <si>
    <t xml:space="preserve">Item</t>
  </si>
  <si>
    <t xml:space="preserve">Min (AED)</t>
  </si>
  <si>
    <t xml:space="preserve">Max (AED)</t>
  </si>
  <si>
    <t xml:space="preserve">Midpoint (AED)</t>
  </si>
  <si>
    <t xml:space="preserve">Full platform build (booking, POS, store, loyalty, training, reports)</t>
  </si>
  <si>
    <t xml:space="preserve">Custom Next.js + Fastify build. Market rate AED 20,000–40,000 for this scope.</t>
  </si>
  <si>
    <t xml:space="preserve">Design &amp; branding (Dastaan UI, dark theme)</t>
  </si>
  <si>
    <t xml:space="preserve">Included in the build above; itemised for transparency.</t>
  </si>
  <si>
    <t xml:space="preserve">Deployment &amp; infrastructure setup (Vercel, Render, Supabase, Stripe)</t>
  </si>
  <si>
    <t xml:space="preserve">One-time config: DNS, env vars, seed data, Stripe webhooks.</t>
  </si>
  <si>
    <t xml:space="preserve">Onboarding &amp; staff training (walkthrough session)</t>
  </si>
  <si>
    <t xml:space="preserve">Half-day on-site or remote walkthrough for owner + reception staff.</t>
  </si>
  <si>
    <t xml:space="preserve">Setup Fee Total</t>
  </si>
  <si>
    <t xml:space="preserve">Charge once, at project kick-off or on delivery</t>
  </si>
  <si>
    <t xml:space="preserve">MONTHLY RETAINER / SaaS FEE</t>
  </si>
  <si>
    <t xml:space="preserve">Component</t>
  </si>
  <si>
    <t xml:space="preserve">Your Cost (AED/mo)</t>
  </si>
  <si>
    <t xml:space="preserve">Charge (AED/mo)</t>
  </si>
  <si>
    <t xml:space="preserve">Margin (AED/mo)</t>
  </si>
  <si>
    <t xml:space="preserve">AED/USD rate assumption →</t>
  </si>
  <si>
    <t xml:space="preserve">(edit this cell if rate changes)</t>
  </si>
  <si>
    <t xml:space="preserve">Vercel Pro (web hosting)</t>
  </si>
  <si>
    <t xml:space="preserve">Your cost: $20/mo. Charging 1.5× to cover account management.</t>
  </si>
  <si>
    <t xml:space="preserve">Render Starter (API hosting)</t>
  </si>
  <si>
    <t xml:space="preserve">Your cost: $7/mo. Always-on for reminders &amp; notifications.</t>
  </si>
  <si>
    <t xml:space="preserve">Supabase Pro (database + storage)</t>
  </si>
  <si>
    <t xml:space="preserve">Your cost: $25/mo. Includes backups, 8 GB storage for videos.</t>
  </si>
  <si>
    <t xml:space="preserve">WhatsApp notifications (Twilio est.)</t>
  </si>
  <si>
    <t xml:space="preserve">Variable. ~400 msgs/month. 2× markup covers volume spikes.</t>
  </si>
  <si>
    <t xml:space="preserve">Platform maintenance &amp; support</t>
  </si>
  <si>
    <t xml:space="preserve">0</t>
  </si>
  <si>
    <t xml:space="preserve">500</t>
  </si>
  <si>
    <t xml:space="preserve">Bug fixes, dependency updates, minor changes. Flat AED 500/mo.</t>
  </si>
  <si>
    <t xml:space="preserve">Feature development (retainer)</t>
  </si>
  <si>
    <t xml:space="preserve">1000</t>
  </si>
  <si>
    <t xml:space="preserve">Optional. Covers ~4 hrs/mo of new features. Remove if not included.</t>
  </si>
  <si>
    <t xml:space="preserve">Monthly Total</t>
  </si>
  <si>
    <t xml:space="preserve">Gross profit per month on the retainer</t>
  </si>
  <si>
    <t xml:space="preserve">Gross Margin %</t>
  </si>
  <si>
    <t xml:space="preserve">Target: 50–70% gross margin on the retainer</t>
  </si>
  <si>
    <t xml:space="preserve">DASTAAN — Pricing Scenarios (Monthly Retainer)</t>
  </si>
  <si>
    <t xml:space="preserve">Bootstrap</t>
  </si>
  <si>
    <t xml:space="preserve">Standard</t>
  </si>
  <si>
    <t xml:space="preserve">Premium</t>
  </si>
  <si>
    <t xml:space="preserve">Description</t>
  </si>
  <si>
    <t xml:space="preserve">Minimum viable. No retainer dev hrs.</t>
  </si>
  <si>
    <t xml:space="preserve">Recommended. Includes support + 4 hrs dev.</t>
  </si>
  <si>
    <t xml:space="preserve">Full service. 8 hrs dev/mo + priority support.</t>
  </si>
  <si>
    <t xml:space="preserve">Vercel + Render + Supabase (pass-through)</t>
  </si>
  <si>
    <t xml:space="preserve">AED 193</t>
  </si>
  <si>
    <t xml:space="preserve">AED 289</t>
  </si>
  <si>
    <t xml:space="preserve">WhatsApp notifications (pass-through)</t>
  </si>
  <si>
    <t xml:space="preserve">AED 59</t>
  </si>
  <si>
    <t xml:space="preserve">Support / maintenance</t>
  </si>
  <si>
    <t xml:space="preserve">AED 0</t>
  </si>
  <si>
    <t xml:space="preserve">AED 500</t>
  </si>
  <si>
    <t xml:space="preserve">AED 1,000</t>
  </si>
  <si>
    <t xml:space="preserve">Feature development retainer</t>
  </si>
  <si>
    <t xml:space="preserve">AED 2,000</t>
  </si>
  <si>
    <t xml:space="preserve">MONTHLY TOTAL (AED)</t>
  </si>
  <si>
    <t xml:space="preserve">AED 252</t>
  </si>
  <si>
    <t xml:space="preserve">AED 1,848</t>
  </si>
  <si>
    <t xml:space="preserve">AED 3,348</t>
  </si>
  <si>
    <t xml:space="preserve">ANNUAL TOTAL (AED)</t>
  </si>
  <si>
    <t xml:space="preserve">AED 3,024</t>
  </si>
  <si>
    <t xml:space="preserve">AED 22,176</t>
  </si>
  <si>
    <t xml:space="preserve">AED 40,176</t>
  </si>
  <si>
    <t xml:space="preserve">Your gross margin</t>
  </si>
  <si>
    <t xml:space="preserve">~25%</t>
  </si>
  <si>
    <t xml:space="preserve">~55–60%</t>
  </si>
  <si>
    <t xml:space="preserve">~65–70%</t>
  </si>
  <si>
    <t xml:space="preserve">Best for</t>
  </si>
  <si>
    <t xml:space="preserve">Solo dev, cost recovery only</t>
  </si>
  <si>
    <t xml:space="preserve">Typical agency retainer</t>
  </si>
  <si>
    <t xml:space="preserve">Premium managed service</t>
  </si>
  <si>
    <t xml:space="preserve">RECOMMENDATION FOR DASTAAN LIFE BARBERS L.L.C</t>
  </si>
  <si>
    <t xml:space="preserve">Charge AED 18,000–22,000 as a one-time setup/development fee, and AED 1,500–2,000/month as a retainer (Standard or Premium scenario). At AED 1,848/month, you recover infrastructure costs and earn ~55% gross margin — roughly AED 1,000/month net profit. Annual retainer contract gives you predictable income; offer a 10% discount for annual prepayment (AED 19,958 vs AED 22,176).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</si>
</sst>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&quot;AED &quot;#,##0.00"/>
    <numFmt numFmtId="167" formatCode="&quot;AED &quot;#,##0"/>
    <numFmt numFmtId="168" formatCode="0.00"/>
    <numFmt numFmtId="169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227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5F0E8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AAAAAA"/>
      <name val="Arial"/>
      <family val="0"/>
      <charset val="1"/>
    </font>
    <font>
      <b val="true"/>
      <sz val="10"/>
      <color rgb="FFCCCCCC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1D6B44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0"/>
      <color rgb="FF00C853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1D6B4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1A"/>
        <bgColor rgb="FF2A2A2A"/>
      </patternFill>
    </fill>
    <fill>
      <patternFill patternType="solid">
        <fgColor rgb="FF2C2C2C"/>
        <bgColor rgb="FF2A2A2A"/>
      </patternFill>
    </fill>
    <fill>
      <patternFill patternType="solid">
        <fgColor rgb="FF2E2E2E"/>
        <bgColor rgb="FF2C2C2C"/>
      </patternFill>
    </fill>
    <fill>
      <patternFill patternType="solid">
        <fgColor rgb="FFF9F9F9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F0F0F0"/>
        <bgColor rgb="FFF5F0E8"/>
      </patternFill>
    </fill>
    <fill>
      <patternFill patternType="solid">
        <fgColor rgb="FF2A2A2A"/>
        <bgColor rgb="FF2C2C2C"/>
      </patternFill>
    </fill>
    <fill>
      <patternFill patternType="solid">
        <fgColor rgb="FF3A3A3A"/>
        <bgColor rgb="FF333333"/>
      </patternFill>
    </fill>
    <fill>
      <patternFill patternType="solid">
        <fgColor rgb="FF3A6A3A"/>
        <bgColor rgb="FF1D6B44"/>
      </patternFill>
    </fill>
    <fill>
      <patternFill patternType="solid">
        <fgColor rgb="FF6A3A1A"/>
        <bgColor rgb="FF3A3A3A"/>
      </patternFill>
    </fill>
    <fill>
      <patternFill patternType="solid">
        <fgColor rgb="FFF5F5F5"/>
        <bgColor rgb="FFF9F9F9"/>
      </patternFill>
    </fill>
    <fill>
      <patternFill patternType="solid">
        <fgColor rgb="FFFFFDE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C2C2C"/>
      <rgbColor rgb="FF808000"/>
      <rgbColor rgb="FF800080"/>
      <rgbColor rgb="FF1D6B44"/>
      <rgbColor rgb="FFCCCCCC"/>
      <rgbColor rgb="FF888888"/>
      <rgbColor rgb="FFAAAAAA"/>
      <rgbColor rgb="FF555555"/>
      <rgbColor rgb="FFFFFDE7"/>
      <rgbColor rgb="FFF0F0F0"/>
      <rgbColor rgb="FF660066"/>
      <rgbColor rgb="FFFF8080"/>
      <rgbColor rgb="FF1D4ED8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5F0E8"/>
      <rgbColor rgb="FFF9F9F9"/>
      <rgbColor rgb="FF99CCFF"/>
      <rgbColor rgb="FFFF99CC"/>
      <rgbColor rgb="FFCC99FF"/>
      <rgbColor rgb="FFFFCC99"/>
      <rgbColor rgb="FF3366FF"/>
      <rgbColor rgb="FF00C853"/>
      <rgbColor rgb="FF99CC00"/>
      <rgbColor rgb="FFFFCC00"/>
      <rgbColor rgb="FFC9A227"/>
      <rgbColor rgb="FFFF6600"/>
      <rgbColor rgb="FF666666"/>
      <rgbColor rgb="FF999999"/>
      <rgbColor rgb="FF2A2A2A"/>
      <rgbColor rgb="FF3A6A3A"/>
      <rgbColor rgb="FF1A1A1A"/>
      <rgbColor rgb="FF2E2E2E"/>
      <rgbColor rgb="FF6A3A1A"/>
      <rgbColor rgb="FF993366"/>
      <rgbColor rgb="FF3A3A3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3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42" hidden="false" customHeight="true" outlineLevel="0" collapsed="false">
      <c r="A6" s="5" t="s">
        <v>9</v>
      </c>
      <c r="B6" s="6" t="s">
        <v>10</v>
      </c>
      <c r="C6" s="7" t="s">
        <v>11</v>
      </c>
      <c r="D6" s="8" t="n">
        <v>20</v>
      </c>
      <c r="E6" s="9" t="n">
        <f aca="false">D6*12</f>
        <v>240</v>
      </c>
      <c r="F6" s="10" t="s">
        <v>12</v>
      </c>
    </row>
    <row r="7" customFormat="false" ht="42" hidden="false" customHeight="true" outlineLevel="0" collapsed="false">
      <c r="A7" s="11" t="s">
        <v>13</v>
      </c>
      <c r="B7" s="12" t="s">
        <v>14</v>
      </c>
      <c r="C7" s="13" t="s">
        <v>15</v>
      </c>
      <c r="D7" s="14" t="n">
        <v>7</v>
      </c>
      <c r="E7" s="15" t="n">
        <f aca="false">D7*12</f>
        <v>84</v>
      </c>
      <c r="F7" s="16" t="s">
        <v>16</v>
      </c>
    </row>
    <row r="8" customFormat="false" ht="42" hidden="false" customHeight="true" outlineLevel="0" collapsed="false">
      <c r="A8" s="5" t="s">
        <v>17</v>
      </c>
      <c r="B8" s="6" t="s">
        <v>18</v>
      </c>
      <c r="C8" s="7" t="s">
        <v>19</v>
      </c>
      <c r="D8" s="8" t="n">
        <v>25</v>
      </c>
      <c r="E8" s="9" t="n">
        <f aca="false">D8*12</f>
        <v>300</v>
      </c>
      <c r="F8" s="10" t="s">
        <v>20</v>
      </c>
    </row>
    <row r="9" customFormat="false" ht="42" hidden="false" customHeight="true" outlineLevel="0" collapsed="false">
      <c r="A9" s="11" t="s">
        <v>21</v>
      </c>
      <c r="B9" s="12" t="s">
        <v>22</v>
      </c>
      <c r="C9" s="13" t="s">
        <v>23</v>
      </c>
      <c r="D9" s="14" t="n">
        <v>1.42</v>
      </c>
      <c r="E9" s="15" t="n">
        <f aca="false">D9*12</f>
        <v>17.04</v>
      </c>
      <c r="F9" s="16" t="s">
        <v>24</v>
      </c>
    </row>
    <row r="10" customFormat="false" ht="25.5" hidden="false" customHeight="true" outlineLevel="0" collapsed="false">
      <c r="A10" s="17" t="s">
        <v>25</v>
      </c>
      <c r="B10" s="17"/>
      <c r="C10" s="17"/>
      <c r="D10" s="18" t="n">
        <f aca="false">SUM(D6:D9)</f>
        <v>53.42</v>
      </c>
      <c r="E10" s="18" t="n">
        <f aca="false">D10*12</f>
        <v>641.04</v>
      </c>
      <c r="F10" s="19" t="s">
        <v>26</v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</row>
    <row r="12" customFormat="false" ht="21.75" hidden="false" customHeight="true" outlineLevel="0" collapsed="false">
      <c r="A12" s="4" t="s">
        <v>27</v>
      </c>
      <c r="B12" s="4"/>
      <c r="C12" s="4"/>
      <c r="D12" s="4"/>
      <c r="E12" s="4"/>
      <c r="F12" s="4"/>
    </row>
    <row r="13" customFormat="false" ht="18" hidden="false" customHeight="true" outlineLevel="0" collapsed="false">
      <c r="A13" s="3" t="s">
        <v>2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7</v>
      </c>
    </row>
    <row r="14" customFormat="false" ht="42" hidden="false" customHeight="true" outlineLevel="0" collapsed="false">
      <c r="A14" s="5" t="s">
        <v>32</v>
      </c>
      <c r="B14" s="10" t="s">
        <v>33</v>
      </c>
      <c r="C14" s="10" t="s">
        <v>34</v>
      </c>
      <c r="D14" s="8" t="n">
        <v>21.8</v>
      </c>
      <c r="E14" s="9" t="n">
        <f aca="false">D14*12</f>
        <v>261.6</v>
      </c>
      <c r="F14" s="10" t="s">
        <v>35</v>
      </c>
    </row>
    <row r="15" customFormat="false" ht="42" hidden="false" customHeight="true" outlineLevel="0" collapsed="false">
      <c r="A15" s="11" t="s">
        <v>36</v>
      </c>
      <c r="B15" s="16" t="s">
        <v>37</v>
      </c>
      <c r="C15" s="16" t="s">
        <v>38</v>
      </c>
      <c r="D15" s="14" t="n">
        <v>8</v>
      </c>
      <c r="E15" s="15" t="n">
        <f aca="false">D15*12</f>
        <v>96</v>
      </c>
      <c r="F15" s="16" t="s">
        <v>39</v>
      </c>
    </row>
    <row r="16" customFormat="false" ht="42" hidden="false" customHeight="true" outlineLevel="0" collapsed="false">
      <c r="A16" s="5" t="s">
        <v>40</v>
      </c>
      <c r="B16" s="10" t="s">
        <v>41</v>
      </c>
      <c r="C16" s="10" t="s">
        <v>42</v>
      </c>
      <c r="D16" s="8" t="n">
        <v>0</v>
      </c>
      <c r="E16" s="9" t="n">
        <f aca="false">D16*12</f>
        <v>0</v>
      </c>
      <c r="F16" s="10" t="s">
        <v>43</v>
      </c>
    </row>
    <row r="17" customFormat="false" ht="42" hidden="false" customHeight="true" outlineLevel="0" collapsed="false">
      <c r="A17" s="11" t="s">
        <v>44</v>
      </c>
      <c r="B17" s="16" t="s">
        <v>45</v>
      </c>
      <c r="C17" s="16" t="s">
        <v>46</v>
      </c>
      <c r="D17" s="14" t="n">
        <v>0</v>
      </c>
      <c r="E17" s="15" t="n">
        <f aca="false">D17*12</f>
        <v>0</v>
      </c>
      <c r="F17" s="16" t="s">
        <v>47</v>
      </c>
    </row>
    <row r="18" customFormat="false" ht="25.5" hidden="false" customHeight="true" outlineLevel="0" collapsed="false">
      <c r="A18" s="17" t="s">
        <v>48</v>
      </c>
      <c r="B18" s="17"/>
      <c r="C18" s="17"/>
      <c r="D18" s="21" t="n">
        <f aca="false">SUM(D14:D17)</f>
        <v>29.8</v>
      </c>
      <c r="E18" s="21" t="n">
        <f aca="false">D18*12</f>
        <v>357.6</v>
      </c>
      <c r="F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</row>
    <row r="20" customFormat="false" ht="31.5" hidden="false" customHeight="true" outlineLevel="0" collapsed="false">
      <c r="A20" s="22" t="s">
        <v>49</v>
      </c>
      <c r="B20" s="22"/>
      <c r="C20" s="22"/>
      <c r="D20" s="23" t="n">
        <f aca="false">D10+D18</f>
        <v>83.22</v>
      </c>
      <c r="E20" s="23" t="n">
        <f aca="false">D20*12</f>
        <v>998.64</v>
      </c>
      <c r="F20" s="24" t="s">
        <v>50</v>
      </c>
    </row>
    <row r="21" customFormat="false" ht="25.5" hidden="false" customHeight="true" outlineLevel="0" collapsed="false">
      <c r="A21" s="25" t="s">
        <v>51</v>
      </c>
      <c r="B21" s="25"/>
      <c r="C21" s="25"/>
      <c r="D21" s="26" t="n">
        <f aca="false">D20*3.67</f>
        <v>305.4174</v>
      </c>
      <c r="E21" s="26" t="n">
        <f aca="false">E20*3.67</f>
        <v>3665.0088</v>
      </c>
      <c r="F21" s="20"/>
    </row>
    <row r="23" customFormat="false" ht="15.75" hidden="false" customHeight="true" outlineLevel="0" collapsed="false">
      <c r="A23" s="27" t="s">
        <v>52</v>
      </c>
      <c r="B23" s="27"/>
      <c r="C23" s="27"/>
      <c r="D23" s="27"/>
      <c r="E23" s="27"/>
      <c r="F23" s="27"/>
    </row>
  </sheetData>
  <mergeCells count="9">
    <mergeCell ref="A1:F1"/>
    <mergeCell ref="A2:F2"/>
    <mergeCell ref="A5:F5"/>
    <mergeCell ref="A10:C10"/>
    <mergeCell ref="A12:F12"/>
    <mergeCell ref="A18:C18"/>
    <mergeCell ref="A20:C20"/>
    <mergeCell ref="A21:C2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  <col collapsed="false" customWidth="true" hidden="false" outlineLevel="0" max="5" min="5" style="0" width="32"/>
  </cols>
  <sheetData>
    <row r="1" customFormat="false" ht="36" hidden="false" customHeight="true" outlineLevel="0" collapsed="false">
      <c r="A1" s="1" t="s">
        <v>53</v>
      </c>
      <c r="B1" s="1"/>
      <c r="C1" s="1"/>
      <c r="D1" s="1"/>
      <c r="E1" s="1"/>
    </row>
    <row r="2" customFormat="false" ht="18" hidden="false" customHeight="true" outlineLevel="0" collapsed="false">
      <c r="A2" s="2" t="s">
        <v>54</v>
      </c>
      <c r="B2" s="2"/>
      <c r="C2" s="2"/>
      <c r="D2" s="2"/>
      <c r="E2" s="2"/>
    </row>
    <row r="4" customFormat="false" ht="21.75" hidden="false" customHeight="true" outlineLevel="0" collapsed="false">
      <c r="A4" s="28" t="s">
        <v>55</v>
      </c>
      <c r="B4" s="28"/>
      <c r="C4" s="28"/>
      <c r="D4" s="28"/>
      <c r="E4" s="28"/>
    </row>
    <row r="5" customFormat="false" ht="25.5" hidden="false" customHeight="true" outlineLevel="0" collapsed="false">
      <c r="A5" s="29" t="s">
        <v>56</v>
      </c>
      <c r="B5" s="29" t="s">
        <v>57</v>
      </c>
      <c r="C5" s="29" t="s">
        <v>58</v>
      </c>
      <c r="D5" s="29" t="s">
        <v>59</v>
      </c>
      <c r="E5" s="29" t="s">
        <v>7</v>
      </c>
    </row>
    <row r="6" customFormat="false" ht="42" hidden="false" customHeight="true" outlineLevel="0" collapsed="false">
      <c r="A6" s="6" t="s">
        <v>60</v>
      </c>
      <c r="B6" s="30" t="n">
        <v>15000</v>
      </c>
      <c r="C6" s="30" t="n">
        <v>25000</v>
      </c>
      <c r="D6" s="31" t="n">
        <f aca="false">(B6+C6)/2</f>
        <v>20000</v>
      </c>
      <c r="E6" s="10" t="s">
        <v>61</v>
      </c>
    </row>
    <row r="7" customFormat="false" ht="42" hidden="false" customHeight="true" outlineLevel="0" collapsed="false">
      <c r="A7" s="12" t="s">
        <v>62</v>
      </c>
      <c r="B7" s="32" t="n">
        <v>2000</v>
      </c>
      <c r="C7" s="32" t="n">
        <v>4000</v>
      </c>
      <c r="D7" s="33" t="n">
        <f aca="false">(B7+C7)/2</f>
        <v>3000</v>
      </c>
      <c r="E7" s="16" t="s">
        <v>63</v>
      </c>
    </row>
    <row r="8" customFormat="false" ht="42" hidden="false" customHeight="true" outlineLevel="0" collapsed="false">
      <c r="A8" s="6" t="s">
        <v>64</v>
      </c>
      <c r="B8" s="30" t="n">
        <v>500</v>
      </c>
      <c r="C8" s="30" t="n">
        <v>1000</v>
      </c>
      <c r="D8" s="31" t="n">
        <f aca="false">(B8+C8)/2</f>
        <v>750</v>
      </c>
      <c r="E8" s="10" t="s">
        <v>65</v>
      </c>
    </row>
    <row r="9" customFormat="false" ht="42" hidden="false" customHeight="true" outlineLevel="0" collapsed="false">
      <c r="A9" s="12" t="s">
        <v>66</v>
      </c>
      <c r="B9" s="32" t="n">
        <v>500</v>
      </c>
      <c r="C9" s="32" t="n">
        <v>1000</v>
      </c>
      <c r="D9" s="33" t="n">
        <f aca="false">(B9+C9)/2</f>
        <v>750</v>
      </c>
      <c r="E9" s="16" t="s">
        <v>67</v>
      </c>
    </row>
    <row r="10" customFormat="false" ht="27.75" hidden="false" customHeight="true" outlineLevel="0" collapsed="false">
      <c r="A10" s="17" t="s">
        <v>68</v>
      </c>
      <c r="B10" s="34" t="n">
        <f aca="false">SUM(B6:B9)</f>
        <v>18000</v>
      </c>
      <c r="C10" s="34" t="n">
        <f aca="false">SUM(C6:C9)</f>
        <v>31000</v>
      </c>
      <c r="D10" s="34" t="n">
        <f aca="false">SUM(D6:D9)</f>
        <v>24500</v>
      </c>
      <c r="E10" s="19" t="s">
        <v>69</v>
      </c>
    </row>
    <row r="11" customFormat="false" ht="15" hidden="false" customHeight="false" outlineLevel="0" collapsed="false">
      <c r="A11" s="20"/>
      <c r="B11" s="20"/>
      <c r="C11" s="20"/>
      <c r="D11" s="20"/>
      <c r="E11" s="20"/>
    </row>
    <row r="12" customFormat="false" ht="21.75" hidden="false" customHeight="true" outlineLevel="0" collapsed="false">
      <c r="A12" s="28" t="s">
        <v>70</v>
      </c>
      <c r="B12" s="28"/>
      <c r="C12" s="28"/>
      <c r="D12" s="28"/>
      <c r="E12" s="28"/>
    </row>
    <row r="13" customFormat="false" ht="25.5" hidden="false" customHeight="true" outlineLevel="0" collapsed="false">
      <c r="A13" s="29" t="s">
        <v>71</v>
      </c>
      <c r="B13" s="29" t="s">
        <v>72</v>
      </c>
      <c r="C13" s="29" t="s">
        <v>73</v>
      </c>
      <c r="D13" s="29" t="s">
        <v>74</v>
      </c>
      <c r="E13" s="29" t="s">
        <v>7</v>
      </c>
    </row>
    <row r="14" customFormat="false" ht="18" hidden="false" customHeight="true" outlineLevel="0" collapsed="false">
      <c r="A14" s="35" t="s">
        <v>75</v>
      </c>
      <c r="B14" s="36" t="n">
        <v>3.67</v>
      </c>
      <c r="C14" s="35" t="s">
        <v>76</v>
      </c>
      <c r="D14" s="35"/>
      <c r="E14" s="35"/>
    </row>
    <row r="15" customFormat="false" ht="42" hidden="false" customHeight="true" outlineLevel="0" collapsed="false">
      <c r="A15" s="6" t="s">
        <v>77</v>
      </c>
      <c r="B15" s="37" t="n">
        <f aca="false">20*$B$14</f>
        <v>73.4</v>
      </c>
      <c r="C15" s="38" t="n">
        <f aca="false">B15*1.5</f>
        <v>110.1</v>
      </c>
      <c r="D15" s="39" t="n">
        <f aca="false">C15-B15</f>
        <v>36.7</v>
      </c>
      <c r="E15" s="10" t="s">
        <v>78</v>
      </c>
    </row>
    <row r="16" customFormat="false" ht="42" hidden="false" customHeight="true" outlineLevel="0" collapsed="false">
      <c r="A16" s="12" t="s">
        <v>79</v>
      </c>
      <c r="B16" s="40" t="n">
        <f aca="false">7*$B$14</f>
        <v>25.69</v>
      </c>
      <c r="C16" s="41" t="n">
        <f aca="false">B16*1.5</f>
        <v>38.535</v>
      </c>
      <c r="D16" s="42" t="n">
        <f aca="false">C16-B16</f>
        <v>12.845</v>
      </c>
      <c r="E16" s="16" t="s">
        <v>80</v>
      </c>
    </row>
    <row r="17" customFormat="false" ht="42" hidden="false" customHeight="true" outlineLevel="0" collapsed="false">
      <c r="A17" s="6" t="s">
        <v>81</v>
      </c>
      <c r="B17" s="37" t="n">
        <f aca="false">25*$B$14</f>
        <v>91.75</v>
      </c>
      <c r="C17" s="38" t="n">
        <f aca="false">B17*1.5</f>
        <v>137.625</v>
      </c>
      <c r="D17" s="39" t="n">
        <f aca="false">C17-B17</f>
        <v>45.875</v>
      </c>
      <c r="E17" s="10" t="s">
        <v>82</v>
      </c>
    </row>
    <row r="18" customFormat="false" ht="42" hidden="false" customHeight="true" outlineLevel="0" collapsed="false">
      <c r="A18" s="12" t="s">
        <v>83</v>
      </c>
      <c r="B18" s="40" t="n">
        <f aca="false">8*$B$14</f>
        <v>29.36</v>
      </c>
      <c r="C18" s="41" t="n">
        <f aca="false">B18*2</f>
        <v>58.72</v>
      </c>
      <c r="D18" s="42" t="n">
        <f aca="false">C18-B18</f>
        <v>29.36</v>
      </c>
      <c r="E18" s="16" t="s">
        <v>84</v>
      </c>
    </row>
    <row r="19" customFormat="false" ht="42" hidden="false" customHeight="true" outlineLevel="0" collapsed="false">
      <c r="A19" s="6" t="s">
        <v>85</v>
      </c>
      <c r="B19" s="37" t="s">
        <v>86</v>
      </c>
      <c r="C19" s="38" t="s">
        <v>87</v>
      </c>
      <c r="D19" s="39" t="n">
        <f aca="false">C19-B19</f>
        <v>500</v>
      </c>
      <c r="E19" s="10" t="s">
        <v>88</v>
      </c>
    </row>
    <row r="20" customFormat="false" ht="42" hidden="false" customHeight="true" outlineLevel="0" collapsed="false">
      <c r="A20" s="12" t="s">
        <v>89</v>
      </c>
      <c r="B20" s="40" t="s">
        <v>86</v>
      </c>
      <c r="C20" s="41" t="s">
        <v>90</v>
      </c>
      <c r="D20" s="42" t="n">
        <f aca="false">C20-B20</f>
        <v>1000</v>
      </c>
      <c r="E20" s="16" t="s">
        <v>91</v>
      </c>
    </row>
    <row r="21" customFormat="false" ht="30" hidden="false" customHeight="true" outlineLevel="0" collapsed="false">
      <c r="A21" s="22" t="s">
        <v>92</v>
      </c>
      <c r="B21" s="43" t="n">
        <f aca="false">SUM(B15:B20)</f>
        <v>220.2</v>
      </c>
      <c r="C21" s="44" t="n">
        <f aca="false">SUM(C15:C20)</f>
        <v>344.98</v>
      </c>
      <c r="D21" s="45" t="n">
        <f aca="false">SUM(D15:D20)</f>
        <v>1624.78</v>
      </c>
      <c r="E21" s="24" t="s">
        <v>93</v>
      </c>
    </row>
    <row r="22" customFormat="false" ht="24" hidden="false" customHeight="true" outlineLevel="0" collapsed="false">
      <c r="A22" s="25" t="s">
        <v>94</v>
      </c>
      <c r="B22" s="46"/>
      <c r="C22" s="47" t="n">
        <f aca="false">IFERROR(D21/C21,0)</f>
        <v>4.70978027711751</v>
      </c>
      <c r="D22" s="46"/>
      <c r="E22" s="48" t="s">
        <v>95</v>
      </c>
    </row>
  </sheetData>
  <mergeCells count="5">
    <mergeCell ref="A1:E1"/>
    <mergeCell ref="A2:E2"/>
    <mergeCell ref="A4:E4"/>
    <mergeCell ref="A12:E12"/>
    <mergeCell ref="C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28"/>
  </cols>
  <sheetData>
    <row r="1" customFormat="false" ht="36" hidden="false" customHeight="true" outlineLevel="0" collapsed="false">
      <c r="A1" s="1" t="s">
        <v>96</v>
      </c>
      <c r="B1" s="1"/>
      <c r="C1" s="1"/>
      <c r="D1" s="1"/>
      <c r="E1" s="1"/>
    </row>
    <row r="3" customFormat="false" ht="25.5" hidden="false" customHeight="true" outlineLevel="0" collapsed="false">
      <c r="A3" s="20"/>
      <c r="B3" s="49" t="s">
        <v>97</v>
      </c>
      <c r="C3" s="28" t="s">
        <v>98</v>
      </c>
      <c r="D3" s="50" t="s">
        <v>99</v>
      </c>
    </row>
    <row r="4" customFormat="false" ht="36" hidden="false" customHeight="true" outlineLevel="0" collapsed="false">
      <c r="A4" s="51" t="s">
        <v>100</v>
      </c>
      <c r="B4" s="52" t="s">
        <v>101</v>
      </c>
      <c r="C4" s="52" t="s">
        <v>102</v>
      </c>
      <c r="D4" s="52" t="s">
        <v>103</v>
      </c>
    </row>
    <row r="5" customFormat="false" ht="30" hidden="false" customHeight="true" outlineLevel="0" collapsed="false">
      <c r="A5" s="53" t="s">
        <v>104</v>
      </c>
      <c r="B5" s="54" t="s">
        <v>105</v>
      </c>
      <c r="C5" s="54" t="s">
        <v>106</v>
      </c>
      <c r="D5" s="54" t="s">
        <v>106</v>
      </c>
    </row>
    <row r="6" customFormat="false" ht="30" hidden="false" customHeight="true" outlineLevel="0" collapsed="false">
      <c r="A6" s="51" t="s">
        <v>107</v>
      </c>
      <c r="B6" s="52" t="s">
        <v>108</v>
      </c>
      <c r="C6" s="52" t="s">
        <v>108</v>
      </c>
      <c r="D6" s="52" t="s">
        <v>108</v>
      </c>
    </row>
    <row r="7" customFormat="false" ht="30" hidden="false" customHeight="true" outlineLevel="0" collapsed="false">
      <c r="A7" s="53" t="s">
        <v>109</v>
      </c>
      <c r="B7" s="54" t="s">
        <v>110</v>
      </c>
      <c r="C7" s="54" t="s">
        <v>111</v>
      </c>
      <c r="D7" s="54" t="s">
        <v>112</v>
      </c>
    </row>
    <row r="8" customFormat="false" ht="30" hidden="false" customHeight="true" outlineLevel="0" collapsed="false">
      <c r="A8" s="51" t="s">
        <v>113</v>
      </c>
      <c r="B8" s="52" t="s">
        <v>110</v>
      </c>
      <c r="C8" s="52" t="s">
        <v>112</v>
      </c>
      <c r="D8" s="52" t="s">
        <v>114</v>
      </c>
    </row>
    <row r="9" customFormat="false" ht="36" hidden="false" customHeight="true" outlineLevel="0" collapsed="false">
      <c r="A9" s="55" t="s">
        <v>115</v>
      </c>
      <c r="B9" s="56" t="s">
        <v>116</v>
      </c>
      <c r="C9" s="56" t="s">
        <v>117</v>
      </c>
      <c r="D9" s="56" t="s">
        <v>118</v>
      </c>
    </row>
    <row r="10" customFormat="false" ht="36" hidden="false" customHeight="true" outlineLevel="0" collapsed="false">
      <c r="A10" s="55" t="s">
        <v>119</v>
      </c>
      <c r="B10" s="56" t="s">
        <v>120</v>
      </c>
      <c r="C10" s="56" t="s">
        <v>121</v>
      </c>
      <c r="D10" s="56" t="s">
        <v>122</v>
      </c>
    </row>
    <row r="11" customFormat="false" ht="30" hidden="false" customHeight="true" outlineLevel="0" collapsed="false">
      <c r="A11" s="53" t="s">
        <v>123</v>
      </c>
      <c r="B11" s="57" t="s">
        <v>124</v>
      </c>
      <c r="C11" s="57" t="s">
        <v>125</v>
      </c>
      <c r="D11" s="57" t="s">
        <v>126</v>
      </c>
    </row>
    <row r="12" customFormat="false" ht="30" hidden="false" customHeight="true" outlineLevel="0" collapsed="false">
      <c r="A12" s="51" t="s">
        <v>127</v>
      </c>
      <c r="B12" s="52" t="s">
        <v>128</v>
      </c>
      <c r="C12" s="52" t="s">
        <v>129</v>
      </c>
      <c r="D12" s="52" t="s">
        <v>130</v>
      </c>
    </row>
    <row r="15" customFormat="false" ht="21.75" hidden="false" customHeight="true" outlineLevel="0" collapsed="false">
      <c r="A15" s="58" t="s">
        <v>131</v>
      </c>
      <c r="B15" s="58"/>
      <c r="C15" s="58"/>
      <c r="D15" s="58"/>
      <c r="E15" s="58"/>
    </row>
    <row r="16" customFormat="false" ht="60" hidden="false" customHeight="true" outlineLevel="0" collapsed="false">
      <c r="A16" s="59" t="s">
        <v>132</v>
      </c>
      <c r="B16" s="59"/>
      <c r="C16" s="59"/>
      <c r="D16" s="59"/>
      <c r="E16" s="59"/>
    </row>
  </sheetData>
  <mergeCells count="3">
    <mergeCell ref="A1:E1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2026-09-09T13:06:08Z</dcterms:created>
  <dc:creator>openpyxl</dc:creator>
  <dc:description/>
  <dc:language>en-US</dc:language>
  <cp:lastModifiedBy/>
  <dcterms:modified xsi:type="dcterms:W3CDTF">2026-09-09T13:06:08Z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